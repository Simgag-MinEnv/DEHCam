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gsi01\Documents\GitHub\DEHCam\HW\"/>
    </mc:Choice>
  </mc:AlternateContent>
  <bookViews>
    <workbookView xWindow="0" yWindow="0" windowWidth="16770" windowHeight="8280"/>
  </bookViews>
  <sheets>
    <sheet name="BOM_2020-09-11" sheetId="2" r:id="rId1"/>
    <sheet name="Amortissement" sheetId="1" r:id="rId2"/>
  </sheets>
  <calcPr calcId="152511"/>
</workbook>
</file>

<file path=xl/calcChain.xml><?xml version="1.0" encoding="utf-8"?>
<calcChain xmlns="http://schemas.openxmlformats.org/spreadsheetml/2006/main">
  <c r="G12" i="2" l="1"/>
  <c r="G11" i="2"/>
  <c r="G10" i="2"/>
  <c r="G9" i="2"/>
  <c r="G8" i="2"/>
  <c r="G7" i="2"/>
  <c r="G6" i="2"/>
  <c r="G5" i="2"/>
  <c r="G13" i="2" s="1"/>
  <c r="G4" i="2"/>
  <c r="G3" i="2"/>
  <c r="G2" i="2"/>
  <c r="G22" i="1"/>
  <c r="G23" i="1" s="1"/>
  <c r="G21" i="1"/>
  <c r="G20" i="1"/>
  <c r="G19" i="1" l="1"/>
  <c r="G13" i="1" l="1"/>
  <c r="G14" i="1"/>
  <c r="G15" i="1"/>
  <c r="G16" i="1"/>
  <c r="G17" i="1"/>
  <c r="G18" i="1"/>
  <c r="G12" i="1"/>
  <c r="D30" i="1" l="1"/>
  <c r="D32" i="1"/>
  <c r="D35" i="1"/>
  <c r="D34" i="1" l="1"/>
  <c r="D39" i="1"/>
  <c r="D36" i="1"/>
  <c r="D38" i="1"/>
  <c r="D33" i="1"/>
  <c r="D29" i="1"/>
  <c r="D31" i="1"/>
  <c r="D37" i="1"/>
</calcChain>
</file>

<file path=xl/sharedStrings.xml><?xml version="1.0" encoding="utf-8"?>
<sst xmlns="http://schemas.openxmlformats.org/spreadsheetml/2006/main" count="101" uniqueCount="58">
  <si>
    <t>Frais fixe de développement</t>
  </si>
  <si>
    <t>Dév</t>
  </si>
  <si>
    <t>2 protos</t>
  </si>
  <si>
    <t>fournisseur</t>
  </si>
  <si>
    <t>Item</t>
  </si>
  <si>
    <t>prix u</t>
  </si>
  <si>
    <t xml:space="preserve">description </t>
  </si>
  <si>
    <t>total</t>
  </si>
  <si>
    <t>Main Board</t>
  </si>
  <si>
    <t>Plaquette principale</t>
  </si>
  <si>
    <t>MCU</t>
  </si>
  <si>
    <t>Digi-Key</t>
  </si>
  <si>
    <t>Particle boron LTE</t>
  </si>
  <si>
    <t>PS</t>
  </si>
  <si>
    <t>Batt</t>
  </si>
  <si>
    <t>HM</t>
  </si>
  <si>
    <t>Heat mat</t>
  </si>
  <si>
    <t>Crobel</t>
  </si>
  <si>
    <t>RobotShop</t>
  </si>
  <si>
    <t>divers</t>
  </si>
  <si>
    <t>qté</t>
  </si>
  <si>
    <t>Caméra</t>
  </si>
  <si>
    <t>OV2640 Arducam</t>
  </si>
  <si>
    <t>Total</t>
  </si>
  <si>
    <t>prix de revient</t>
  </si>
  <si>
    <t>Qtée commandée</t>
  </si>
  <si>
    <t>pièces proto</t>
  </si>
  <si>
    <t>Panneau solaire 10w</t>
  </si>
  <si>
    <t>filage connecteur etc</t>
  </si>
  <si>
    <t>Boitier</t>
  </si>
  <si>
    <t>Anixter</t>
  </si>
  <si>
    <t>Boitier T93F05</t>
  </si>
  <si>
    <t>Explora</t>
  </si>
  <si>
    <t>custom</t>
  </si>
  <si>
    <t>BBM</t>
  </si>
  <si>
    <t>PB</t>
  </si>
  <si>
    <t>Bouton poussoir SS</t>
  </si>
  <si>
    <t>Molex-2</t>
  </si>
  <si>
    <t>Connecteur pour P.S.</t>
  </si>
  <si>
    <t>Pin-F</t>
  </si>
  <si>
    <t>Pin femelle pour conn. Molex</t>
  </si>
  <si>
    <t>Modèle</t>
  </si>
  <si>
    <t>Fournisseur</t>
  </si>
  <si>
    <t xml:space="preserve">Description </t>
  </si>
  <si>
    <t>SS-E-HX00-1 REV:0</t>
  </si>
  <si>
    <t>BRN402</t>
  </si>
  <si>
    <t>Commentaire</t>
  </si>
  <si>
    <t>Boron Inclus Antenne TAOGLAS</t>
  </si>
  <si>
    <t>EWS-10P</t>
  </si>
  <si>
    <t xml:space="preserve">COM-11289 </t>
  </si>
  <si>
    <t>version 5x15cm, 5x10 aussi dispo.</t>
  </si>
  <si>
    <t>B0067</t>
  </si>
  <si>
    <t>OV2640 2MP PLUS</t>
  </si>
  <si>
    <t>5900-261</t>
  </si>
  <si>
    <t>Boitier IP68</t>
  </si>
  <si>
    <t>PV0H240SS-311</t>
  </si>
  <si>
    <t>Bouton rouge</t>
  </si>
  <si>
    <t>20-24 AWG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</si>
</sst>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$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164" fontId="0" fillId="0" borderId="0" xfId="0" applyNumberFormat="1"/>
    <xf numFmtId="164" fontId="16" fillId="0" borderId="0" xfId="0" applyNumberFormat="1" applyFont="1"/>
    <xf numFmtId="0" fontId="16" fillId="0" borderId="0" xfId="0" applyFont="1" applyAlignment="1">
      <alignment horizontal="right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G31" sqref="G31"/>
    </sheetView>
  </sheetViews>
  <sheetFormatPr baseColWidth="10" defaultRowHeight="15" x14ac:dyDescent="0.25"/>
  <cols>
    <col min="1" max="1" width="11" bestFit="1" customWidth="1"/>
    <col min="2" max="2" width="32.42578125" customWidth="1"/>
    <col min="3" max="3" width="11.140625" bestFit="1" customWidth="1"/>
    <col min="4" max="4" width="29.42578125" customWidth="1"/>
    <col min="5" max="5" width="8" bestFit="1" customWidth="1"/>
    <col min="6" max="6" width="5.42578125" bestFit="1" customWidth="1"/>
    <col min="7" max="7" width="8" bestFit="1" customWidth="1"/>
    <col min="8" max="8" width="58" customWidth="1"/>
  </cols>
  <sheetData>
    <row r="1" spans="1:8" x14ac:dyDescent="0.25">
      <c r="A1" s="1" t="s">
        <v>4</v>
      </c>
      <c r="B1" s="1" t="s">
        <v>43</v>
      </c>
      <c r="C1" s="1" t="s">
        <v>42</v>
      </c>
      <c r="D1" s="1" t="s">
        <v>41</v>
      </c>
      <c r="E1" s="3" t="s">
        <v>5</v>
      </c>
      <c r="F1" s="1" t="s">
        <v>20</v>
      </c>
      <c r="G1" s="1" t="s">
        <v>7</v>
      </c>
      <c r="H1" s="1" t="s">
        <v>46</v>
      </c>
    </row>
    <row r="2" spans="1:8" x14ac:dyDescent="0.25">
      <c r="A2" t="s">
        <v>8</v>
      </c>
      <c r="B2" t="s">
        <v>9</v>
      </c>
      <c r="C2" t="s">
        <v>32</v>
      </c>
      <c r="D2" t="s">
        <v>44</v>
      </c>
      <c r="E2" s="2">
        <v>250</v>
      </c>
      <c r="F2">
        <v>1</v>
      </c>
      <c r="G2" s="2">
        <f>E2*F2</f>
        <v>250</v>
      </c>
    </row>
    <row r="3" spans="1:8" x14ac:dyDescent="0.25">
      <c r="A3" t="s">
        <v>10</v>
      </c>
      <c r="B3" t="s">
        <v>12</v>
      </c>
      <c r="C3" t="s">
        <v>11</v>
      </c>
      <c r="D3" t="s">
        <v>45</v>
      </c>
      <c r="E3" s="2">
        <v>78.260000000000005</v>
      </c>
      <c r="F3">
        <v>1</v>
      </c>
      <c r="G3" s="2">
        <f t="shared" ref="G3:G12" si="0">E3*F3</f>
        <v>78.260000000000005</v>
      </c>
      <c r="H3" t="s">
        <v>47</v>
      </c>
    </row>
    <row r="4" spans="1:8" x14ac:dyDescent="0.25">
      <c r="A4" t="s">
        <v>14</v>
      </c>
      <c r="B4" t="s">
        <v>33</v>
      </c>
      <c r="C4" t="s">
        <v>34</v>
      </c>
      <c r="E4" s="2">
        <v>50</v>
      </c>
      <c r="F4">
        <v>1</v>
      </c>
      <c r="G4" s="2">
        <f t="shared" si="0"/>
        <v>50</v>
      </c>
    </row>
    <row r="5" spans="1:8" x14ac:dyDescent="0.25">
      <c r="A5" t="s">
        <v>13</v>
      </c>
      <c r="B5" t="s">
        <v>27</v>
      </c>
      <c r="C5" t="s">
        <v>17</v>
      </c>
      <c r="D5" t="s">
        <v>48</v>
      </c>
      <c r="E5" s="2">
        <v>56</v>
      </c>
      <c r="F5">
        <v>1</v>
      </c>
      <c r="G5" s="2">
        <f t="shared" si="0"/>
        <v>56</v>
      </c>
    </row>
    <row r="6" spans="1:8" x14ac:dyDescent="0.25">
      <c r="A6" t="s">
        <v>15</v>
      </c>
      <c r="B6" t="s">
        <v>16</v>
      </c>
      <c r="C6" t="s">
        <v>18</v>
      </c>
      <c r="D6" t="s">
        <v>49</v>
      </c>
      <c r="E6" s="2">
        <v>5.95</v>
      </c>
      <c r="F6">
        <v>1</v>
      </c>
      <c r="G6" s="2">
        <f t="shared" si="0"/>
        <v>5.95</v>
      </c>
      <c r="H6" t="s">
        <v>50</v>
      </c>
    </row>
    <row r="7" spans="1:8" x14ac:dyDescent="0.25">
      <c r="A7" t="s">
        <v>19</v>
      </c>
      <c r="B7" t="s">
        <v>28</v>
      </c>
      <c r="C7" t="s">
        <v>19</v>
      </c>
      <c r="E7" s="2">
        <v>40</v>
      </c>
      <c r="F7">
        <v>1</v>
      </c>
      <c r="G7" s="2">
        <f t="shared" si="0"/>
        <v>40</v>
      </c>
    </row>
    <row r="8" spans="1:8" x14ac:dyDescent="0.25">
      <c r="A8" t="s">
        <v>21</v>
      </c>
      <c r="B8" t="s">
        <v>22</v>
      </c>
      <c r="C8" t="s">
        <v>18</v>
      </c>
      <c r="D8" t="s">
        <v>51</v>
      </c>
      <c r="E8" s="2">
        <v>35.35</v>
      </c>
      <c r="F8">
        <v>1</v>
      </c>
      <c r="G8" s="2">
        <f t="shared" si="0"/>
        <v>35.35</v>
      </c>
      <c r="H8" t="s">
        <v>52</v>
      </c>
    </row>
    <row r="9" spans="1:8" x14ac:dyDescent="0.25">
      <c r="A9" t="s">
        <v>29</v>
      </c>
      <c r="B9" t="s">
        <v>31</v>
      </c>
      <c r="C9" t="s">
        <v>30</v>
      </c>
      <c r="D9" t="s">
        <v>53</v>
      </c>
      <c r="E9" s="2">
        <v>215</v>
      </c>
      <c r="F9">
        <v>1</v>
      </c>
      <c r="G9" s="2">
        <f t="shared" si="0"/>
        <v>215</v>
      </c>
      <c r="H9" t="s">
        <v>54</v>
      </c>
    </row>
    <row r="10" spans="1:8" x14ac:dyDescent="0.25">
      <c r="A10" t="s">
        <v>35</v>
      </c>
      <c r="B10" t="s">
        <v>36</v>
      </c>
      <c r="C10" t="s">
        <v>11</v>
      </c>
      <c r="D10" t="s">
        <v>55</v>
      </c>
      <c r="E10" s="2">
        <v>16.68</v>
      </c>
      <c r="F10">
        <v>1</v>
      </c>
      <c r="G10" s="2">
        <f t="shared" si="0"/>
        <v>16.68</v>
      </c>
      <c r="H10" t="s">
        <v>56</v>
      </c>
    </row>
    <row r="11" spans="1:8" x14ac:dyDescent="0.25">
      <c r="A11" t="s">
        <v>37</v>
      </c>
      <c r="B11" t="s">
        <v>38</v>
      </c>
      <c r="C11" t="s">
        <v>11</v>
      </c>
      <c r="D11">
        <v>436450200</v>
      </c>
      <c r="E11" s="2">
        <v>0.46</v>
      </c>
      <c r="F11">
        <v>1</v>
      </c>
      <c r="G11" s="2">
        <f t="shared" si="0"/>
        <v>0.46</v>
      </c>
    </row>
    <row r="12" spans="1:8" x14ac:dyDescent="0.25">
      <c r="A12" t="s">
        <v>39</v>
      </c>
      <c r="B12" t="s">
        <v>40</v>
      </c>
      <c r="C12" t="s">
        <v>11</v>
      </c>
      <c r="D12">
        <v>430300002</v>
      </c>
      <c r="E12" s="2">
        <v>0.24</v>
      </c>
      <c r="F12">
        <v>4</v>
      </c>
      <c r="G12" s="2">
        <f t="shared" si="0"/>
        <v>0.96</v>
      </c>
      <c r="H12" t="s">
        <v>57</v>
      </c>
    </row>
    <row r="13" spans="1:8" x14ac:dyDescent="0.25">
      <c r="E13" s="2"/>
      <c r="F13" s="4" t="s">
        <v>23</v>
      </c>
      <c r="G13" s="2">
        <f>SUM(G2:G12)</f>
        <v>748.66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78"/>
  <sheetViews>
    <sheetView topLeftCell="A4" workbookViewId="0">
      <selection activeCell="B11" sqref="B11:G23"/>
    </sheetView>
  </sheetViews>
  <sheetFormatPr baseColWidth="10" defaultRowHeight="15" x14ac:dyDescent="0.25"/>
  <cols>
    <col min="3" max="3" width="29.28515625" customWidth="1"/>
    <col min="5" max="5" width="11.42578125" style="2"/>
  </cols>
  <sheetData>
    <row r="2" spans="2:7" x14ac:dyDescent="0.25">
      <c r="B2" t="s">
        <v>0</v>
      </c>
    </row>
    <row r="3" spans="2:7" x14ac:dyDescent="0.25">
      <c r="B3">
        <v>9000</v>
      </c>
      <c r="C3" t="s">
        <v>1</v>
      </c>
    </row>
    <row r="4" spans="2:7" x14ac:dyDescent="0.25">
      <c r="B4">
        <v>800</v>
      </c>
      <c r="C4" t="s">
        <v>2</v>
      </c>
    </row>
    <row r="5" spans="2:7" x14ac:dyDescent="0.25">
      <c r="B5">
        <v>400</v>
      </c>
      <c r="C5" t="s">
        <v>26</v>
      </c>
    </row>
    <row r="11" spans="2:7" x14ac:dyDescent="0.25">
      <c r="B11" s="1" t="s">
        <v>4</v>
      </c>
      <c r="C11" s="1" t="s">
        <v>6</v>
      </c>
      <c r="D11" s="1" t="s">
        <v>3</v>
      </c>
      <c r="E11" s="3" t="s">
        <v>5</v>
      </c>
      <c r="F11" s="1" t="s">
        <v>20</v>
      </c>
      <c r="G11" s="1" t="s">
        <v>7</v>
      </c>
    </row>
    <row r="12" spans="2:7" x14ac:dyDescent="0.25">
      <c r="B12" t="s">
        <v>8</v>
      </c>
      <c r="C12" t="s">
        <v>9</v>
      </c>
      <c r="D12" t="s">
        <v>32</v>
      </c>
      <c r="E12" s="2">
        <v>250</v>
      </c>
      <c r="F12">
        <v>1</v>
      </c>
      <c r="G12" s="2">
        <f>E12*F12</f>
        <v>250</v>
      </c>
    </row>
    <row r="13" spans="2:7" x14ac:dyDescent="0.25">
      <c r="B13" t="s">
        <v>10</v>
      </c>
      <c r="C13" t="s">
        <v>12</v>
      </c>
      <c r="D13" t="s">
        <v>11</v>
      </c>
      <c r="E13" s="2">
        <v>78.260000000000005</v>
      </c>
      <c r="F13">
        <v>1</v>
      </c>
      <c r="G13" s="2">
        <f t="shared" ref="G13:G22" si="0">E13*F13</f>
        <v>78.260000000000005</v>
      </c>
    </row>
    <row r="14" spans="2:7" x14ac:dyDescent="0.25">
      <c r="B14" t="s">
        <v>14</v>
      </c>
      <c r="C14" t="s">
        <v>33</v>
      </c>
      <c r="D14" t="s">
        <v>34</v>
      </c>
      <c r="E14" s="2">
        <v>50</v>
      </c>
      <c r="F14">
        <v>1</v>
      </c>
      <c r="G14" s="2">
        <f t="shared" si="0"/>
        <v>50</v>
      </c>
    </row>
    <row r="15" spans="2:7" x14ac:dyDescent="0.25">
      <c r="B15" t="s">
        <v>13</v>
      </c>
      <c r="C15" t="s">
        <v>27</v>
      </c>
      <c r="D15" t="s">
        <v>17</v>
      </c>
      <c r="E15" s="2">
        <v>56</v>
      </c>
      <c r="F15">
        <v>1</v>
      </c>
      <c r="G15" s="2">
        <f t="shared" si="0"/>
        <v>56</v>
      </c>
    </row>
    <row r="16" spans="2:7" x14ac:dyDescent="0.25">
      <c r="B16" t="s">
        <v>15</v>
      </c>
      <c r="C16" t="s">
        <v>16</v>
      </c>
      <c r="D16" t="s">
        <v>18</v>
      </c>
      <c r="E16" s="2">
        <v>5.95</v>
      </c>
      <c r="F16">
        <v>1</v>
      </c>
      <c r="G16" s="2">
        <f t="shared" si="0"/>
        <v>5.95</v>
      </c>
    </row>
    <row r="17" spans="2:7" x14ac:dyDescent="0.25">
      <c r="B17" t="s">
        <v>19</v>
      </c>
      <c r="C17" t="s">
        <v>28</v>
      </c>
      <c r="D17" t="s">
        <v>19</v>
      </c>
      <c r="E17" s="2">
        <v>40</v>
      </c>
      <c r="F17">
        <v>1</v>
      </c>
      <c r="G17" s="2">
        <f t="shared" si="0"/>
        <v>40</v>
      </c>
    </row>
    <row r="18" spans="2:7" x14ac:dyDescent="0.25">
      <c r="B18" t="s">
        <v>21</v>
      </c>
      <c r="C18" t="s">
        <v>22</v>
      </c>
      <c r="D18" t="s">
        <v>18</v>
      </c>
      <c r="E18" s="2">
        <v>35.35</v>
      </c>
      <c r="F18">
        <v>1</v>
      </c>
      <c r="G18" s="2">
        <f t="shared" si="0"/>
        <v>35.35</v>
      </c>
    </row>
    <row r="19" spans="2:7" x14ac:dyDescent="0.25">
      <c r="B19" t="s">
        <v>29</v>
      </c>
      <c r="C19" t="s">
        <v>31</v>
      </c>
      <c r="D19" t="s">
        <v>30</v>
      </c>
      <c r="E19" s="2">
        <v>215</v>
      </c>
      <c r="F19">
        <v>1</v>
      </c>
      <c r="G19" s="2">
        <f t="shared" si="0"/>
        <v>215</v>
      </c>
    </row>
    <row r="20" spans="2:7" x14ac:dyDescent="0.25">
      <c r="B20" t="s">
        <v>35</v>
      </c>
      <c r="C20" t="s">
        <v>36</v>
      </c>
      <c r="D20" t="s">
        <v>11</v>
      </c>
      <c r="E20" s="2">
        <v>16.68</v>
      </c>
      <c r="F20">
        <v>1</v>
      </c>
      <c r="G20" s="2">
        <f t="shared" si="0"/>
        <v>16.68</v>
      </c>
    </row>
    <row r="21" spans="2:7" x14ac:dyDescent="0.25">
      <c r="B21" t="s">
        <v>37</v>
      </c>
      <c r="C21" t="s">
        <v>38</v>
      </c>
      <c r="D21" t="s">
        <v>11</v>
      </c>
      <c r="E21" s="2">
        <v>0.46</v>
      </c>
      <c r="F21">
        <v>1</v>
      </c>
      <c r="G21" s="2">
        <f t="shared" si="0"/>
        <v>0.46</v>
      </c>
    </row>
    <row r="22" spans="2:7" x14ac:dyDescent="0.25">
      <c r="B22" t="s">
        <v>39</v>
      </c>
      <c r="C22" t="s">
        <v>40</v>
      </c>
      <c r="D22" t="s">
        <v>11</v>
      </c>
      <c r="E22" s="2">
        <v>0.24</v>
      </c>
      <c r="F22">
        <v>4</v>
      </c>
      <c r="G22" s="2">
        <f t="shared" si="0"/>
        <v>0.96</v>
      </c>
    </row>
    <row r="23" spans="2:7" x14ac:dyDescent="0.25">
      <c r="F23" s="4" t="s">
        <v>23</v>
      </c>
      <c r="G23" s="2">
        <f>SUM(G12:G22)</f>
        <v>748.66</v>
      </c>
    </row>
    <row r="28" spans="2:7" x14ac:dyDescent="0.25">
      <c r="C28" s="1" t="s">
        <v>25</v>
      </c>
      <c r="D28" s="1" t="s">
        <v>24</v>
      </c>
    </row>
    <row r="29" spans="2:7" x14ac:dyDescent="0.25">
      <c r="C29">
        <v>1</v>
      </c>
      <c r="D29" s="2">
        <f>$G$23+($B$3+$B$4+$B$5)/C29</f>
        <v>10948.66</v>
      </c>
    </row>
    <row r="30" spans="2:7" x14ac:dyDescent="0.25">
      <c r="C30">
        <v>5</v>
      </c>
      <c r="D30" s="2">
        <f t="shared" ref="D30:D39" si="1">$G$23+($B$3+$B$4+$B$5)/C30</f>
        <v>2788.66</v>
      </c>
    </row>
    <row r="31" spans="2:7" x14ac:dyDescent="0.25">
      <c r="C31">
        <v>10</v>
      </c>
      <c r="D31" s="2">
        <f t="shared" si="1"/>
        <v>1768.6599999999999</v>
      </c>
    </row>
    <row r="32" spans="2:7" x14ac:dyDescent="0.25">
      <c r="C32">
        <v>15</v>
      </c>
      <c r="D32" s="2">
        <f t="shared" si="1"/>
        <v>1428.6599999999999</v>
      </c>
    </row>
    <row r="33" spans="3:4" x14ac:dyDescent="0.25">
      <c r="C33">
        <v>20</v>
      </c>
      <c r="D33" s="2">
        <f t="shared" si="1"/>
        <v>1258.6599999999999</v>
      </c>
    </row>
    <row r="34" spans="3:4" x14ac:dyDescent="0.25">
      <c r="C34">
        <v>25</v>
      </c>
      <c r="D34" s="2">
        <f t="shared" si="1"/>
        <v>1156.6599999999999</v>
      </c>
    </row>
    <row r="35" spans="3:4" x14ac:dyDescent="0.25">
      <c r="C35">
        <v>30</v>
      </c>
      <c r="D35" s="2">
        <f t="shared" si="1"/>
        <v>1088.6599999999999</v>
      </c>
    </row>
    <row r="36" spans="3:4" x14ac:dyDescent="0.25">
      <c r="C36">
        <v>35</v>
      </c>
      <c r="D36" s="2">
        <f t="shared" si="1"/>
        <v>1040.0885714285714</v>
      </c>
    </row>
    <row r="37" spans="3:4" x14ac:dyDescent="0.25">
      <c r="C37">
        <v>40</v>
      </c>
      <c r="D37" s="2">
        <f t="shared" si="1"/>
        <v>1003.66</v>
      </c>
    </row>
    <row r="38" spans="3:4" x14ac:dyDescent="0.25">
      <c r="C38">
        <v>45</v>
      </c>
      <c r="D38" s="2">
        <f t="shared" si="1"/>
        <v>975.3266666666666</v>
      </c>
    </row>
    <row r="39" spans="3:4" x14ac:dyDescent="0.25">
      <c r="C39">
        <v>50</v>
      </c>
      <c r="D39" s="2">
        <f t="shared" si="1"/>
        <v>952.66</v>
      </c>
    </row>
    <row r="40" spans="3:4" x14ac:dyDescent="0.25">
      <c r="D40" s="2"/>
    </row>
    <row r="41" spans="3:4" x14ac:dyDescent="0.25">
      <c r="D41" s="2"/>
    </row>
    <row r="42" spans="3:4" x14ac:dyDescent="0.25">
      <c r="D42" s="2"/>
    </row>
    <row r="43" spans="3:4" x14ac:dyDescent="0.25">
      <c r="D43" s="2"/>
    </row>
    <row r="44" spans="3:4" x14ac:dyDescent="0.25">
      <c r="D44" s="2"/>
    </row>
    <row r="45" spans="3:4" x14ac:dyDescent="0.25">
      <c r="D45" s="2"/>
    </row>
    <row r="46" spans="3:4" x14ac:dyDescent="0.25">
      <c r="D46" s="2"/>
    </row>
    <row r="47" spans="3:4" x14ac:dyDescent="0.25">
      <c r="D47" s="2"/>
    </row>
    <row r="48" spans="3:4" x14ac:dyDescent="0.25">
      <c r="D48" s="2"/>
    </row>
    <row r="49" spans="4:4" x14ac:dyDescent="0.25">
      <c r="D49" s="2"/>
    </row>
    <row r="50" spans="4:4" x14ac:dyDescent="0.25">
      <c r="D50" s="2"/>
    </row>
    <row r="51" spans="4:4" x14ac:dyDescent="0.25">
      <c r="D51" s="2"/>
    </row>
    <row r="52" spans="4:4" x14ac:dyDescent="0.25">
      <c r="D52" s="2"/>
    </row>
    <row r="53" spans="4:4" x14ac:dyDescent="0.25">
      <c r="D53" s="2"/>
    </row>
    <row r="54" spans="4:4" x14ac:dyDescent="0.25">
      <c r="D54" s="2"/>
    </row>
    <row r="55" spans="4:4" x14ac:dyDescent="0.25">
      <c r="D55" s="2"/>
    </row>
    <row r="56" spans="4:4" x14ac:dyDescent="0.25">
      <c r="D56" s="2"/>
    </row>
    <row r="57" spans="4:4" x14ac:dyDescent="0.25">
      <c r="D57" s="2"/>
    </row>
    <row r="58" spans="4:4" x14ac:dyDescent="0.25">
      <c r="D58" s="2"/>
    </row>
    <row r="59" spans="4:4" x14ac:dyDescent="0.25">
      <c r="D59" s="2"/>
    </row>
    <row r="60" spans="4:4" x14ac:dyDescent="0.25">
      <c r="D60" s="2"/>
    </row>
    <row r="61" spans="4:4" x14ac:dyDescent="0.25">
      <c r="D61" s="2"/>
    </row>
    <row r="62" spans="4:4" x14ac:dyDescent="0.25">
      <c r="D62" s="2"/>
    </row>
    <row r="63" spans="4:4" x14ac:dyDescent="0.25">
      <c r="D63" s="2"/>
    </row>
    <row r="64" spans="4:4" x14ac:dyDescent="0.25">
      <c r="D64" s="2"/>
    </row>
    <row r="65" spans="4:4" x14ac:dyDescent="0.25">
      <c r="D65" s="2"/>
    </row>
    <row r="66" spans="4:4" x14ac:dyDescent="0.25">
      <c r="D66" s="2"/>
    </row>
    <row r="67" spans="4:4" x14ac:dyDescent="0.25">
      <c r="D67" s="2"/>
    </row>
    <row r="68" spans="4:4" x14ac:dyDescent="0.25">
      <c r="D68" s="2"/>
    </row>
    <row r="69" spans="4:4" x14ac:dyDescent="0.25">
      <c r="D69" s="2"/>
    </row>
    <row r="70" spans="4:4" x14ac:dyDescent="0.25">
      <c r="D70" s="2"/>
    </row>
    <row r="71" spans="4:4" x14ac:dyDescent="0.25">
      <c r="D71" s="2"/>
    </row>
    <row r="72" spans="4:4" x14ac:dyDescent="0.25">
      <c r="D72" s="2"/>
    </row>
    <row r="73" spans="4:4" x14ac:dyDescent="0.25">
      <c r="D73" s="2"/>
    </row>
    <row r="74" spans="4:4" x14ac:dyDescent="0.25">
      <c r="D74" s="2"/>
    </row>
    <row r="75" spans="4:4" x14ac:dyDescent="0.25">
      <c r="D75" s="2"/>
    </row>
    <row r="76" spans="4:4" x14ac:dyDescent="0.25">
      <c r="D76" s="2"/>
    </row>
    <row r="77" spans="4:4" x14ac:dyDescent="0.25">
      <c r="D77" s="2"/>
    </row>
    <row r="78" spans="4:4" x14ac:dyDescent="0.25">
      <c r="D7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BOM_2020-09-11</vt:lpstr>
      <vt:lpstr>Amortissement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Gagnon, Simon-Pierre</dc:creator>
  <cp:lastModifiedBy>Gagnon, Simon-Pierre</cp:lastModifiedBy>
  <dcterms:modified xsi:type="dcterms:W3CDTF">2020-09-11T16:38:50Z</dcterms:modified>
</cp:coreProperties>
</file>